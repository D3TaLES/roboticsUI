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\D3talesRobotics\roboticsUI\test_data\"/>
    </mc:Choice>
  </mc:AlternateContent>
  <xr:revisionPtr revIDLastSave="0" documentId="13_ncr:1_{FE2CCEAA-8557-41DF-B037-E2962FC60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pette_calibration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7" i="1"/>
  <c r="K14" i="1" s="1"/>
  <c r="L19" i="1"/>
  <c r="N37" i="1"/>
  <c r="K38" i="1" a="1"/>
  <c r="K38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19" i="1"/>
  <c r="K15" i="1" a="1"/>
  <c r="K15" i="1" s="1"/>
  <c r="K3" i="1"/>
  <c r="K4" i="1"/>
  <c r="K5" i="1"/>
  <c r="K6" i="1"/>
  <c r="K8" i="1"/>
  <c r="K9" i="1"/>
  <c r="K10" i="1"/>
  <c r="K11" i="1"/>
  <c r="K12" i="1"/>
  <c r="K13" i="1"/>
  <c r="H31" i="1"/>
  <c r="H32" i="1"/>
  <c r="H33" i="1"/>
  <c r="H34" i="1"/>
  <c r="H35" i="1"/>
  <c r="H36" i="1"/>
  <c r="H30" i="1"/>
  <c r="H29" i="1"/>
  <c r="H28" i="1"/>
  <c r="H27" i="1"/>
  <c r="H26" i="1"/>
  <c r="H25" i="1"/>
  <c r="H24" i="1"/>
  <c r="H23" i="1"/>
  <c r="H22" i="1"/>
  <c r="H21" i="1"/>
  <c r="H20" i="1"/>
  <c r="H19" i="1"/>
  <c r="H3" i="1"/>
  <c r="H4" i="1"/>
  <c r="H5" i="1"/>
  <c r="H6" i="1"/>
  <c r="H7" i="1"/>
  <c r="H8" i="1"/>
  <c r="H9" i="1"/>
  <c r="H10" i="1"/>
  <c r="H11" i="1"/>
  <c r="H12" i="1"/>
  <c r="H13" i="1"/>
  <c r="H2" i="1"/>
  <c r="H14" i="1" l="1"/>
  <c r="L5" i="1"/>
  <c r="M5" i="1" s="1"/>
  <c r="N5" i="1" s="1"/>
  <c r="L4" i="1"/>
  <c r="M4" i="1" s="1"/>
  <c r="N4" i="1" s="1"/>
  <c r="L6" i="1"/>
  <c r="M6" i="1" s="1"/>
  <c r="N6" i="1" s="1"/>
  <c r="L7" i="1"/>
  <c r="M7" i="1" s="1"/>
  <c r="N7" i="1" s="1"/>
  <c r="L8" i="1"/>
  <c r="M8" i="1" s="1"/>
  <c r="N8" i="1" s="1"/>
  <c r="L9" i="1"/>
  <c r="M9" i="1" s="1"/>
  <c r="N9" i="1" s="1"/>
  <c r="L10" i="1"/>
  <c r="M10" i="1" s="1"/>
  <c r="N10" i="1" s="1"/>
  <c r="L11" i="1"/>
  <c r="M11" i="1" s="1"/>
  <c r="N11" i="1" s="1"/>
  <c r="L12" i="1"/>
  <c r="M12" i="1" s="1"/>
  <c r="N12" i="1" s="1"/>
  <c r="L13" i="1"/>
  <c r="M13" i="1" s="1"/>
  <c r="N13" i="1" s="1"/>
  <c r="L2" i="1"/>
  <c r="M2" i="1" s="1"/>
  <c r="N2" i="1" s="1"/>
  <c r="L3" i="1"/>
  <c r="M3" i="1" s="1"/>
  <c r="N3" i="1" s="1"/>
  <c r="H37" i="1"/>
  <c r="K37" i="1"/>
  <c r="L26" i="1" s="1"/>
  <c r="O2" i="1" l="1"/>
  <c r="N14" i="1"/>
  <c r="O8" i="1"/>
  <c r="L20" i="1"/>
  <c r="M20" i="1" s="1"/>
  <c r="N20" i="1" s="1"/>
  <c r="L24" i="1"/>
  <c r="M24" i="1" s="1"/>
  <c r="N24" i="1" s="1"/>
  <c r="L28" i="1"/>
  <c r="M28" i="1" s="1"/>
  <c r="N28" i="1" s="1"/>
  <c r="L32" i="1"/>
  <c r="M32" i="1" s="1"/>
  <c r="N32" i="1" s="1"/>
  <c r="L36" i="1"/>
  <c r="M36" i="1" s="1"/>
  <c r="N36" i="1" s="1"/>
  <c r="M19" i="1"/>
  <c r="N19" i="1" s="1"/>
  <c r="L25" i="1"/>
  <c r="M25" i="1" s="1"/>
  <c r="N25" i="1" s="1"/>
  <c r="L33" i="1"/>
  <c r="M33" i="1" s="1"/>
  <c r="N33" i="1" s="1"/>
  <c r="M26" i="1"/>
  <c r="N26" i="1" s="1"/>
  <c r="L30" i="1"/>
  <c r="M30" i="1" s="1"/>
  <c r="N30" i="1" s="1"/>
  <c r="L34" i="1"/>
  <c r="M34" i="1" s="1"/>
  <c r="N34" i="1" s="1"/>
  <c r="L23" i="1"/>
  <c r="M23" i="1" s="1"/>
  <c r="N23" i="1" s="1"/>
  <c r="L27" i="1"/>
  <c r="M27" i="1" s="1"/>
  <c r="N27" i="1" s="1"/>
  <c r="L31" i="1"/>
  <c r="M31" i="1" s="1"/>
  <c r="N31" i="1" s="1"/>
  <c r="L21" i="1"/>
  <c r="M21" i="1" s="1"/>
  <c r="N21" i="1" s="1"/>
  <c r="L29" i="1"/>
  <c r="M29" i="1" s="1"/>
  <c r="N29" i="1" s="1"/>
  <c r="L22" i="1"/>
  <c r="M22" i="1" s="1"/>
  <c r="N22" i="1" s="1"/>
  <c r="L35" i="1"/>
  <c r="M35" i="1" s="1"/>
  <c r="N35" i="1" s="1"/>
  <c r="O31" i="1" l="1"/>
  <c r="O25" i="1"/>
  <c r="O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<sst xmlns="http://schemas.openxmlformats.org/spreadsheetml/2006/main" count="32" uniqueCount="16">
  <si>
    <t>Expected Volume (L)</t>
  </si>
  <si>
    <t>Extracted Volume (L)</t>
  </si>
  <si>
    <t>Expected Mass (g)</t>
  </si>
  <si>
    <t>Extracted Mass (g)</t>
  </si>
  <si>
    <t>Measured Density (g/L)</t>
  </si>
  <si>
    <t>Expected Density</t>
  </si>
  <si>
    <t>DIFF</t>
  </si>
  <si>
    <t>correction_value</t>
  </si>
  <si>
    <t>corrected expected volumes</t>
  </si>
  <si>
    <t>corrected expected densities</t>
  </si>
  <si>
    <t>corrected DIFF</t>
  </si>
  <si>
    <t>CODE Corr</t>
  </si>
  <si>
    <t xml:space="preserve">Extracted Volume (mL) </t>
  </si>
  <si>
    <t xml:space="preserve">Orignial </t>
  </si>
  <si>
    <t xml:space="preserve">Corrected </t>
  </si>
  <si>
    <t>With correction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</si>
</sst>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pipette_calibration_master!$C$40</c:f>
              <c:strCache>
                <c:ptCount val="1"/>
                <c:pt idx="0">
                  <c:v>Orignial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0226425348516831"/>
                  <c:y val="0.147754137115839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pipette_calibration_master!$B$41:$B$58</c:f>
              <c:numCache>
                <c:formatCode>General</c:formatCode>
                <c:ptCount val="18"/>
                <c:pt idx="0">
                  <c:v>0.53816793900000004</c:v>
                </c:pt>
                <c:pt idx="1">
                  <c:v>0.53562341000000002</c:v>
                </c:pt>
                <c:pt idx="2">
                  <c:v>0.53944020400000003</c:v>
                </c:pt>
                <c:pt idx="3">
                  <c:v>0.54071246799999995</c:v>
                </c:pt>
                <c:pt idx="4">
                  <c:v>0.53689567400000004</c:v>
                </c:pt>
                <c:pt idx="5">
                  <c:v>0.54325699699999996</c:v>
                </c:pt>
                <c:pt idx="6">
                  <c:v>0.47837150099999998</c:v>
                </c:pt>
                <c:pt idx="7">
                  <c:v>0.49363867700000003</c:v>
                </c:pt>
                <c:pt idx="8">
                  <c:v>0.49363867700000003</c:v>
                </c:pt>
                <c:pt idx="9">
                  <c:v>0.49872773500000001</c:v>
                </c:pt>
                <c:pt idx="10">
                  <c:v>0.48982188300000001</c:v>
                </c:pt>
                <c:pt idx="11">
                  <c:v>0.487277354</c:v>
                </c:pt>
                <c:pt idx="12">
                  <c:v>0.39312977100000002</c:v>
                </c:pt>
                <c:pt idx="13">
                  <c:v>0.40203562300000001</c:v>
                </c:pt>
                <c:pt idx="14">
                  <c:v>0.390585242</c:v>
                </c:pt>
                <c:pt idx="15">
                  <c:v>0.40076335899999999</c:v>
                </c:pt>
                <c:pt idx="16">
                  <c:v>0.39185750600000002</c:v>
                </c:pt>
                <c:pt idx="17">
                  <c:v>0.38295165399999997</c:v>
                </c:pt>
              </c:numCache>
            </c:numRef>
          </c:xVal>
          <c:yVal>
            <c:numRef>
              <c:f>pipette_calibration_master!$C$41:$C$58</c:f>
              <c:numCache>
                <c:formatCode>General</c:formatCode>
                <c:ptCount val="18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2F-4E63-B711-AC8CA9DF51A7}"/>
            </c:ext>
          </c:extLst>
        </c:ser>
        <c:ser>
          <c:idx val="1"/>
          <c:order val="1"/>
          <c:tx>
            <c:strRef>
              <c:f>pipette_calibration_master!$D$40</c:f>
              <c:strCache>
                <c:ptCount val="1"/>
                <c:pt idx="0">
                  <c:v>With correction factor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0162219891052943"/>
                  <c:y val="0.285657998423955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pipette_calibration_master!$B$41:$B$58</c:f>
              <c:numCache>
                <c:formatCode>General</c:formatCode>
                <c:ptCount val="18"/>
                <c:pt idx="0">
                  <c:v>0.53816793900000004</c:v>
                </c:pt>
                <c:pt idx="1">
                  <c:v>0.53562341000000002</c:v>
                </c:pt>
                <c:pt idx="2">
                  <c:v>0.53944020400000003</c:v>
                </c:pt>
                <c:pt idx="3">
                  <c:v>0.54071246799999995</c:v>
                </c:pt>
                <c:pt idx="4">
                  <c:v>0.53689567400000004</c:v>
                </c:pt>
                <c:pt idx="5">
                  <c:v>0.54325699699999996</c:v>
                </c:pt>
                <c:pt idx="6">
                  <c:v>0.47837150099999998</c:v>
                </c:pt>
                <c:pt idx="7">
                  <c:v>0.49363867700000003</c:v>
                </c:pt>
                <c:pt idx="8">
                  <c:v>0.49363867700000003</c:v>
                </c:pt>
                <c:pt idx="9">
                  <c:v>0.49872773500000001</c:v>
                </c:pt>
                <c:pt idx="10">
                  <c:v>0.48982188300000001</c:v>
                </c:pt>
                <c:pt idx="11">
                  <c:v>0.487277354</c:v>
                </c:pt>
                <c:pt idx="12">
                  <c:v>0.39312977100000002</c:v>
                </c:pt>
                <c:pt idx="13">
                  <c:v>0.40203562300000001</c:v>
                </c:pt>
                <c:pt idx="14">
                  <c:v>0.390585242</c:v>
                </c:pt>
                <c:pt idx="15">
                  <c:v>0.40076335899999999</c:v>
                </c:pt>
                <c:pt idx="16">
                  <c:v>0.39185750600000002</c:v>
                </c:pt>
                <c:pt idx="17">
                  <c:v>0.38295165399999997</c:v>
                </c:pt>
              </c:numCache>
            </c:numRef>
          </c:xVal>
          <c:yVal>
            <c:numRef>
              <c:f>pipette_calibration_master!$D$41:$D$58</c:f>
              <c:numCache>
                <c:formatCode>General</c:formatCode>
                <c:ptCount val="18"/>
                <c:pt idx="0">
                  <c:v>0.53980774665694453</c:v>
                </c:pt>
                <c:pt idx="1">
                  <c:v>0.53980774665694453</c:v>
                </c:pt>
                <c:pt idx="2">
                  <c:v>0.53980774665694453</c:v>
                </c:pt>
                <c:pt idx="3">
                  <c:v>0.53980774665694453</c:v>
                </c:pt>
                <c:pt idx="4">
                  <c:v>0.53980774665694453</c:v>
                </c:pt>
                <c:pt idx="5">
                  <c:v>0.53980774665694453</c:v>
                </c:pt>
                <c:pt idx="6">
                  <c:v>0.49073431514267679</c:v>
                </c:pt>
                <c:pt idx="7">
                  <c:v>0.49073431514267679</c:v>
                </c:pt>
                <c:pt idx="8">
                  <c:v>0.49073431514267679</c:v>
                </c:pt>
                <c:pt idx="9">
                  <c:v>0.49073431514267679</c:v>
                </c:pt>
                <c:pt idx="10">
                  <c:v>0.49073431514267679</c:v>
                </c:pt>
                <c:pt idx="11">
                  <c:v>0.49073431514267679</c:v>
                </c:pt>
                <c:pt idx="12">
                  <c:v>0.39258745211414148</c:v>
                </c:pt>
                <c:pt idx="13">
                  <c:v>0.39258745211414148</c:v>
                </c:pt>
                <c:pt idx="14">
                  <c:v>0.39258745211414148</c:v>
                </c:pt>
                <c:pt idx="15">
                  <c:v>0.39258745211414148</c:v>
                </c:pt>
                <c:pt idx="16">
                  <c:v>0.39258745211414148</c:v>
                </c:pt>
                <c:pt idx="17">
                  <c:v>0.39258745211414148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2F-4E63-B711-AC8CA9DF5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461519"/>
        <c:axId val="350455695"/>
      </c:scatterChart>
      <c:valAx>
        <c:axId val="350461519"/>
        <c:scaling>
          <c:orientation val="minMax"/>
          <c:max val="0.55000000000000004"/>
          <c:min val="0.38000000000000006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55695"/>
        <c:crosses val="autoZero"/>
        <c:crossBetween val="midCat"/>
      </c:valAx>
      <c:valAx>
        <c:axId val="350455695"/>
        <c:scaling>
          <c:orientation val="minMax"/>
          <c:max val="0.55000000000000004"/>
          <c:min val="0.3800000000000000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61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correction factor on pipette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25828032216385"/>
          <c:y val="0.13766519823788545"/>
          <c:w val="0.78169437653912477"/>
          <c:h val="0.62790939678795654"/>
        </c:manualLayout>
      </c:layout>
      <c:scatterChart>
        <c:scatterStyle val="lineMarker"/>
        <c:varyColors val="0"/>
        <c:ser>
          <c:idx val="0"/>
          <c:order val="0"/>
          <c:tx>
            <c:strRef>
              <c:f>pipette_calibration_master!$C$40</c:f>
              <c:strCache>
                <c:ptCount val="1"/>
                <c:pt idx="0">
                  <c:v>Orignial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8827449939544073"/>
                  <c:y val="0.187155240346729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0.90x + 0.055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pipette_calibration_master!$B$62:$B$91</c:f>
              <c:numCache>
                <c:formatCode>0.000</c:formatCode>
                <c:ptCount val="30"/>
                <c:pt idx="0">
                  <c:v>0.53816793900000004</c:v>
                </c:pt>
                <c:pt idx="1">
                  <c:v>0.53562341000000002</c:v>
                </c:pt>
                <c:pt idx="2">
                  <c:v>0.53944020400000003</c:v>
                </c:pt>
                <c:pt idx="3">
                  <c:v>0.54071246799999995</c:v>
                </c:pt>
                <c:pt idx="4">
                  <c:v>0.53689567400000004</c:v>
                </c:pt>
                <c:pt idx="5">
                  <c:v>0.54325699699999996</c:v>
                </c:pt>
                <c:pt idx="6">
                  <c:v>0.47837150099999998</c:v>
                </c:pt>
                <c:pt idx="7">
                  <c:v>0.49363867700000003</c:v>
                </c:pt>
                <c:pt idx="8">
                  <c:v>0.49363867700000003</c:v>
                </c:pt>
                <c:pt idx="9">
                  <c:v>0.49872773500000001</c:v>
                </c:pt>
                <c:pt idx="10">
                  <c:v>0.48982188300000001</c:v>
                </c:pt>
                <c:pt idx="11">
                  <c:v>0.487277354</c:v>
                </c:pt>
                <c:pt idx="12">
                  <c:v>0.39312977100000002</c:v>
                </c:pt>
                <c:pt idx="13">
                  <c:v>0.40203562300000001</c:v>
                </c:pt>
                <c:pt idx="14">
                  <c:v>0.390585242</c:v>
                </c:pt>
                <c:pt idx="15">
                  <c:v>0.40076335899999999</c:v>
                </c:pt>
                <c:pt idx="16">
                  <c:v>0.39185750600000002</c:v>
                </c:pt>
                <c:pt idx="17">
                  <c:v>0.38295165399999997</c:v>
                </c:pt>
                <c:pt idx="18">
                  <c:v>0.37277353699999999</c:v>
                </c:pt>
                <c:pt idx="19">
                  <c:v>0.389312977</c:v>
                </c:pt>
                <c:pt idx="20">
                  <c:v>0.38167938899999998</c:v>
                </c:pt>
                <c:pt idx="21">
                  <c:v>0.38295165399999997</c:v>
                </c:pt>
                <c:pt idx="22">
                  <c:v>0.389312977</c:v>
                </c:pt>
                <c:pt idx="23">
                  <c:v>0.390585242</c:v>
                </c:pt>
                <c:pt idx="24">
                  <c:v>0.48473282400000001</c:v>
                </c:pt>
                <c:pt idx="25">
                  <c:v>0.49236641199999998</c:v>
                </c:pt>
                <c:pt idx="26">
                  <c:v>0.50508905900000001</c:v>
                </c:pt>
                <c:pt idx="27">
                  <c:v>0.49618320599999999</c:v>
                </c:pt>
                <c:pt idx="28">
                  <c:v>0.48854961800000002</c:v>
                </c:pt>
                <c:pt idx="29">
                  <c:v>0.49745547099999998</c:v>
                </c:pt>
              </c:numCache>
            </c:numRef>
          </c:xVal>
          <c:yVal>
            <c:numRef>
              <c:f>pipette_calibration_master!$C$62:$C$91</c:f>
              <c:numCache>
                <c:formatCode>0.000</c:formatCode>
                <c:ptCount val="30"/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F7-4440-8E83-6B08F7C7C181}"/>
            </c:ext>
          </c:extLst>
        </c:ser>
        <c:ser>
          <c:idx val="1"/>
          <c:order val="1"/>
          <c:tx>
            <c:strRef>
              <c:f>pipette_calibration_master!$D$40</c:f>
              <c:strCache>
                <c:ptCount val="1"/>
                <c:pt idx="0">
                  <c:v>With correction factor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781671953927107"/>
                  <c:y val="0.29747832939322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1.00x - 0.002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pipette_calibration_master!$B$62:$B$91</c:f>
              <c:numCache>
                <c:formatCode>0.000</c:formatCode>
                <c:ptCount val="30"/>
                <c:pt idx="0">
                  <c:v>0.53816793900000004</c:v>
                </c:pt>
                <c:pt idx="1">
                  <c:v>0.53562341000000002</c:v>
                </c:pt>
                <c:pt idx="2">
                  <c:v>0.53944020400000003</c:v>
                </c:pt>
                <c:pt idx="3">
                  <c:v>0.54071246799999995</c:v>
                </c:pt>
                <c:pt idx="4">
                  <c:v>0.53689567400000004</c:v>
                </c:pt>
                <c:pt idx="5">
                  <c:v>0.54325699699999996</c:v>
                </c:pt>
                <c:pt idx="6">
                  <c:v>0.47837150099999998</c:v>
                </c:pt>
                <c:pt idx="7">
                  <c:v>0.49363867700000003</c:v>
                </c:pt>
                <c:pt idx="8">
                  <c:v>0.49363867700000003</c:v>
                </c:pt>
                <c:pt idx="9">
                  <c:v>0.49872773500000001</c:v>
                </c:pt>
                <c:pt idx="10">
                  <c:v>0.48982188300000001</c:v>
                </c:pt>
                <c:pt idx="11">
                  <c:v>0.487277354</c:v>
                </c:pt>
                <c:pt idx="12">
                  <c:v>0.39312977100000002</c:v>
                </c:pt>
                <c:pt idx="13">
                  <c:v>0.40203562300000001</c:v>
                </c:pt>
                <c:pt idx="14">
                  <c:v>0.390585242</c:v>
                </c:pt>
                <c:pt idx="15">
                  <c:v>0.40076335899999999</c:v>
                </c:pt>
                <c:pt idx="16">
                  <c:v>0.39185750600000002</c:v>
                </c:pt>
                <c:pt idx="17">
                  <c:v>0.38295165399999997</c:v>
                </c:pt>
                <c:pt idx="18">
                  <c:v>0.37277353699999999</c:v>
                </c:pt>
                <c:pt idx="19">
                  <c:v>0.389312977</c:v>
                </c:pt>
                <c:pt idx="20">
                  <c:v>0.38167938899999998</c:v>
                </c:pt>
                <c:pt idx="21">
                  <c:v>0.38295165399999997</c:v>
                </c:pt>
                <c:pt idx="22">
                  <c:v>0.389312977</c:v>
                </c:pt>
                <c:pt idx="23">
                  <c:v>0.390585242</c:v>
                </c:pt>
                <c:pt idx="24">
                  <c:v>0.48473282400000001</c:v>
                </c:pt>
                <c:pt idx="25">
                  <c:v>0.49236641199999998</c:v>
                </c:pt>
                <c:pt idx="26">
                  <c:v>0.50508905900000001</c:v>
                </c:pt>
                <c:pt idx="27">
                  <c:v>0.49618320599999999</c:v>
                </c:pt>
                <c:pt idx="28">
                  <c:v>0.48854961800000002</c:v>
                </c:pt>
                <c:pt idx="29">
                  <c:v>0.49745547099999998</c:v>
                </c:pt>
              </c:numCache>
            </c:numRef>
          </c:xVal>
          <c:yVal>
            <c:numRef>
              <c:f>pipette_calibration_master!$D$62:$D$91</c:f>
              <c:numCache>
                <c:formatCode>0.000</c:formatCode>
                <c:ptCount val="30"/>
                <c:pt idx="0">
                  <c:v>0.53980774665694453</c:v>
                </c:pt>
                <c:pt idx="1">
                  <c:v>0.53980774665694453</c:v>
                </c:pt>
                <c:pt idx="2">
                  <c:v>0.53980774665694453</c:v>
                </c:pt>
                <c:pt idx="3">
                  <c:v>0.53980774665694453</c:v>
                </c:pt>
                <c:pt idx="4">
                  <c:v>0.53980774665694453</c:v>
                </c:pt>
                <c:pt idx="5">
                  <c:v>0.53980774665694453</c:v>
                </c:pt>
                <c:pt idx="6">
                  <c:v>0.49073431514267679</c:v>
                </c:pt>
                <c:pt idx="7">
                  <c:v>0.49073431514267679</c:v>
                </c:pt>
                <c:pt idx="8">
                  <c:v>0.49073431514267679</c:v>
                </c:pt>
                <c:pt idx="9">
                  <c:v>0.49073431514267679</c:v>
                </c:pt>
                <c:pt idx="10">
                  <c:v>0.49073431514267679</c:v>
                </c:pt>
                <c:pt idx="11">
                  <c:v>0.49073431514267679</c:v>
                </c:pt>
                <c:pt idx="12">
                  <c:v>0.39258745211414148</c:v>
                </c:pt>
                <c:pt idx="13">
                  <c:v>0.39258745211414148</c:v>
                </c:pt>
                <c:pt idx="14">
                  <c:v>0.39258745211414148</c:v>
                </c:pt>
                <c:pt idx="15">
                  <c:v>0.39258745211414148</c:v>
                </c:pt>
                <c:pt idx="16">
                  <c:v>0.39258745211414148</c:v>
                </c:pt>
                <c:pt idx="17">
                  <c:v>0.39258745211414148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F7-4440-8E83-6B08F7C7C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461519"/>
        <c:axId val="350455695"/>
      </c:scatterChart>
      <c:valAx>
        <c:axId val="350461519"/>
        <c:scaling>
          <c:orientation val="minMax"/>
          <c:max val="0.55000000000000004"/>
          <c:min val="0.35000000000000003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Extracted Volume (mL) </a:t>
                </a:r>
              </a:p>
            </c:rich>
          </c:tx>
          <c:layout>
            <c:manualLayout>
              <c:xMode val="edge"/>
              <c:yMode val="edge"/>
              <c:x val="0.41034201771090795"/>
              <c:y val="0.82973308127232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55695"/>
        <c:crosses val="autoZero"/>
        <c:crossBetween val="midCat"/>
      </c:valAx>
      <c:valAx>
        <c:axId val="350455695"/>
        <c:scaling>
          <c:orientation val="minMax"/>
          <c:max val="0.55000000000000004"/>
          <c:min val="0.3500000000000000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Volume (mL)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61519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6016216240551409"/>
          <c:y val="0.89629135014510852"/>
          <c:w val="0.73970998050629611"/>
          <c:h val="7.80111461838195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40</xdr:row>
      <xdr:rowOff>7620</xdr:rowOff>
    </xdr:from>
    <xdr:to>
      <xdr:col>13</xdr:col>
      <xdr:colOff>441960</xdr:colOff>
      <xdr:row>57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4553DD-5F27-C312-D6D2-4486697B0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64</xdr:row>
      <xdr:rowOff>0</xdr:rowOff>
    </xdr:from>
    <xdr:to>
      <xdr:col>14</xdr:col>
      <xdr:colOff>396240</xdr:colOff>
      <xdr:row>81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B59439-45DF-4B95-8548-219B5C6B0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topLeftCell="A2" workbookViewId="0">
      <selection activeCell="K2" sqref="K2"/>
    </sheetView>
  </sheetViews>
  <sheetFormatPr defaultRowHeight="14.4" x14ac:dyDescent="0.3"/>
  <cols>
    <col min="2" max="4" width="9.5546875" bestFit="1" customWidth="1"/>
    <col min="8" max="8" width="8.21875" customWidth="1"/>
  </cols>
  <sheetData>
    <row r="1" spans="1:15" s="2" customFormat="1" ht="43.2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5" x14ac:dyDescent="0.3">
      <c r="A2">
        <v>0</v>
      </c>
      <c r="B2">
        <v>0.4</v>
      </c>
      <c r="C2">
        <v>0.37277353699999999</v>
      </c>
      <c r="D2">
        <v>0.31440000000000001</v>
      </c>
      <c r="E2">
        <v>0.29299999999999998</v>
      </c>
      <c r="F2">
        <v>0.73199999999999998</v>
      </c>
      <c r="G2">
        <v>0.78600000000000003</v>
      </c>
      <c r="H2">
        <f>ABS(F2-G2)</f>
        <v>5.4000000000000048E-2</v>
      </c>
      <c r="I2">
        <v>5.3999999999999999E-2</v>
      </c>
      <c r="K2" s="1">
        <f>C2/B2</f>
        <v>0.93193384249999989</v>
      </c>
      <c r="L2" s="1">
        <f>$K$14*B2</f>
        <v>0.38984308733333339</v>
      </c>
      <c r="M2" s="1">
        <f>E2/L2</f>
        <v>0.75158444389568413</v>
      </c>
      <c r="N2" s="1">
        <f>ABS(M2-G2)</f>
        <v>3.4415556104315903E-2</v>
      </c>
      <c r="O2" s="1">
        <f>MAX(N2:N7)</f>
        <v>3.4415556104315903E-2</v>
      </c>
    </row>
    <row r="3" spans="1:15" x14ac:dyDescent="0.3">
      <c r="A3">
        <v>1</v>
      </c>
      <c r="B3">
        <v>0.4</v>
      </c>
      <c r="C3">
        <v>0.389312977</v>
      </c>
      <c r="D3">
        <v>0.31440000000000001</v>
      </c>
      <c r="E3">
        <v>0.30599999999999999</v>
      </c>
      <c r="F3">
        <v>0.76500000000000001</v>
      </c>
      <c r="G3">
        <v>0.78600000000000003</v>
      </c>
      <c r="H3">
        <f t="shared" ref="H3:H13" si="0">ABS(F3-G3)</f>
        <v>2.1000000000000019E-2</v>
      </c>
      <c r="K3" s="1">
        <f t="shared" ref="K3:K13" si="1">C3/B3</f>
        <v>0.97328244249999996</v>
      </c>
      <c r="L3" s="1">
        <f t="shared" ref="L3:L13" si="2">$K$14*B3</f>
        <v>0.38984308733333339</v>
      </c>
      <c r="M3" s="1">
        <f t="shared" ref="M3:M13" si="3">E3/L3</f>
        <v>0.78493119396614108</v>
      </c>
      <c r="N3" s="1">
        <f>ABS(M3-G3)</f>
        <v>1.0688060338589489E-3</v>
      </c>
    </row>
    <row r="4" spans="1:15" x14ac:dyDescent="0.3">
      <c r="A4">
        <v>2</v>
      </c>
      <c r="B4">
        <v>0.4</v>
      </c>
      <c r="C4">
        <v>0.38167938899999998</v>
      </c>
      <c r="D4">
        <v>0.31440000000000001</v>
      </c>
      <c r="E4">
        <v>0.3</v>
      </c>
      <c r="F4">
        <v>0.75</v>
      </c>
      <c r="G4">
        <v>0.78600000000000003</v>
      </c>
      <c r="H4">
        <f t="shared" si="0"/>
        <v>3.6000000000000032E-2</v>
      </c>
      <c r="K4" s="1">
        <f t="shared" si="1"/>
        <v>0.95419847249999989</v>
      </c>
      <c r="L4" s="1">
        <f t="shared" si="2"/>
        <v>0.38984308733333339</v>
      </c>
      <c r="M4" s="1">
        <f t="shared" si="3"/>
        <v>0.76954038624131482</v>
      </c>
      <c r="N4" s="1">
        <f t="shared" ref="N4:N13" si="4">ABS(M4-G4)</f>
        <v>1.645961375868521E-2</v>
      </c>
    </row>
    <row r="5" spans="1:15" x14ac:dyDescent="0.3">
      <c r="A5">
        <v>3</v>
      </c>
      <c r="B5">
        <v>0.4</v>
      </c>
      <c r="C5">
        <v>0.38295165399999997</v>
      </c>
      <c r="D5">
        <v>0.31440000000000001</v>
      </c>
      <c r="E5">
        <v>0.30099999999999999</v>
      </c>
      <c r="F5">
        <v>0.753</v>
      </c>
      <c r="G5">
        <v>0.78600000000000003</v>
      </c>
      <c r="H5">
        <f t="shared" si="0"/>
        <v>3.3000000000000029E-2</v>
      </c>
      <c r="K5" s="1">
        <f t="shared" si="1"/>
        <v>0.95737913499999994</v>
      </c>
      <c r="L5" s="1">
        <f t="shared" si="2"/>
        <v>0.38984308733333339</v>
      </c>
      <c r="M5" s="1">
        <f t="shared" si="3"/>
        <v>0.77210552086211914</v>
      </c>
      <c r="N5" s="1">
        <f t="shared" si="4"/>
        <v>1.3894479137880889E-2</v>
      </c>
    </row>
    <row r="6" spans="1:15" x14ac:dyDescent="0.3">
      <c r="A6">
        <v>4</v>
      </c>
      <c r="B6">
        <v>0.4</v>
      </c>
      <c r="C6">
        <v>0.389312977</v>
      </c>
      <c r="D6">
        <v>0.31440000000000001</v>
      </c>
      <c r="E6">
        <v>0.30599999999999999</v>
      </c>
      <c r="F6">
        <v>0.76500000000000001</v>
      </c>
      <c r="G6">
        <v>0.78600000000000003</v>
      </c>
      <c r="H6">
        <f t="shared" si="0"/>
        <v>2.1000000000000019E-2</v>
      </c>
      <c r="K6" s="1">
        <f t="shared" si="1"/>
        <v>0.97328244249999996</v>
      </c>
      <c r="L6" s="1">
        <f t="shared" si="2"/>
        <v>0.38984308733333339</v>
      </c>
      <c r="M6" s="1">
        <f t="shared" si="3"/>
        <v>0.78493119396614108</v>
      </c>
      <c r="N6" s="1">
        <f t="shared" si="4"/>
        <v>1.0688060338589489E-3</v>
      </c>
    </row>
    <row r="7" spans="1:15" x14ac:dyDescent="0.3">
      <c r="A7">
        <v>5</v>
      </c>
      <c r="B7">
        <v>0.4</v>
      </c>
      <c r="C7">
        <v>0.390585242</v>
      </c>
      <c r="D7">
        <v>0.31440000000000001</v>
      </c>
      <c r="E7">
        <v>0.307</v>
      </c>
      <c r="F7">
        <v>0.76800000000000002</v>
      </c>
      <c r="G7">
        <v>0.78600000000000003</v>
      </c>
      <c r="H7">
        <f t="shared" si="0"/>
        <v>1.8000000000000016E-2</v>
      </c>
      <c r="K7" s="1">
        <f t="shared" si="1"/>
        <v>0.976463105</v>
      </c>
      <c r="L7" s="1">
        <f t="shared" si="2"/>
        <v>0.38984308733333339</v>
      </c>
      <c r="M7" s="1">
        <f t="shared" si="3"/>
        <v>0.78749632858694552</v>
      </c>
      <c r="N7" s="1">
        <f t="shared" si="4"/>
        <v>1.4963285869454834E-3</v>
      </c>
    </row>
    <row r="8" spans="1:15" x14ac:dyDescent="0.3">
      <c r="A8">
        <v>6</v>
      </c>
      <c r="B8">
        <v>0.5</v>
      </c>
      <c r="C8">
        <v>0.48473282400000001</v>
      </c>
      <c r="D8">
        <v>0.39300000000000002</v>
      </c>
      <c r="E8">
        <v>0.38100000000000001</v>
      </c>
      <c r="F8">
        <v>0.76200000000000001</v>
      </c>
      <c r="G8">
        <v>0.78600000000000003</v>
      </c>
      <c r="H8">
        <f t="shared" si="0"/>
        <v>2.4000000000000021E-2</v>
      </c>
      <c r="K8" s="1">
        <f t="shared" si="1"/>
        <v>0.96946564800000001</v>
      </c>
      <c r="L8" s="1">
        <f t="shared" si="2"/>
        <v>0.48730385916666669</v>
      </c>
      <c r="M8" s="1">
        <f t="shared" si="3"/>
        <v>0.78185303242117599</v>
      </c>
      <c r="N8" s="1">
        <f t="shared" si="4"/>
        <v>4.1469675788240457E-3</v>
      </c>
      <c r="O8" s="1">
        <f>MAX(N8:N13)</f>
        <v>2.8686755567472022E-2</v>
      </c>
    </row>
    <row r="9" spans="1:15" x14ac:dyDescent="0.3">
      <c r="A9">
        <v>7</v>
      </c>
      <c r="B9">
        <v>0.5</v>
      </c>
      <c r="C9">
        <v>0.49236641199999998</v>
      </c>
      <c r="D9">
        <v>0.39300000000000002</v>
      </c>
      <c r="E9">
        <v>0.38700000000000001</v>
      </c>
      <c r="F9">
        <v>0.77400000000000002</v>
      </c>
      <c r="G9">
        <v>0.78600000000000003</v>
      </c>
      <c r="H9">
        <f t="shared" si="0"/>
        <v>1.2000000000000011E-2</v>
      </c>
      <c r="K9" s="1">
        <f t="shared" si="1"/>
        <v>0.98473282399999995</v>
      </c>
      <c r="L9" s="1">
        <f t="shared" si="2"/>
        <v>0.48730385916666669</v>
      </c>
      <c r="M9" s="1">
        <f t="shared" si="3"/>
        <v>0.79416567860103704</v>
      </c>
      <c r="N9" s="1">
        <f t="shared" si="4"/>
        <v>8.1656786010370075E-3</v>
      </c>
    </row>
    <row r="10" spans="1:15" x14ac:dyDescent="0.3">
      <c r="A10">
        <v>8</v>
      </c>
      <c r="B10">
        <v>0.5</v>
      </c>
      <c r="C10">
        <v>0.50508905900000001</v>
      </c>
      <c r="D10">
        <v>0.39300000000000002</v>
      </c>
      <c r="E10">
        <v>0.39700000000000002</v>
      </c>
      <c r="F10">
        <v>0.79400000000000004</v>
      </c>
      <c r="G10">
        <v>0.78600000000000003</v>
      </c>
      <c r="H10">
        <f t="shared" si="0"/>
        <v>8.0000000000000071E-3</v>
      </c>
      <c r="K10" s="1">
        <f t="shared" si="1"/>
        <v>1.010178118</v>
      </c>
      <c r="L10" s="1">
        <f t="shared" si="2"/>
        <v>0.48730385916666669</v>
      </c>
      <c r="M10" s="1">
        <f t="shared" si="3"/>
        <v>0.81468675556747205</v>
      </c>
      <c r="N10" s="1">
        <f t="shared" si="4"/>
        <v>2.8686755567472022E-2</v>
      </c>
    </row>
    <row r="11" spans="1:15" x14ac:dyDescent="0.3">
      <c r="A11">
        <v>9</v>
      </c>
      <c r="B11">
        <v>0.5</v>
      </c>
      <c r="C11">
        <v>0.49618320599999999</v>
      </c>
      <c r="D11">
        <v>0.39300000000000002</v>
      </c>
      <c r="E11">
        <v>0.39</v>
      </c>
      <c r="F11">
        <v>0.78</v>
      </c>
      <c r="G11">
        <v>0.78600000000000003</v>
      </c>
      <c r="H11">
        <f t="shared" si="0"/>
        <v>6.0000000000000053E-3</v>
      </c>
      <c r="K11" s="1">
        <f t="shared" si="1"/>
        <v>0.99236641199999998</v>
      </c>
      <c r="L11" s="1">
        <f t="shared" si="2"/>
        <v>0.48730385916666669</v>
      </c>
      <c r="M11" s="1">
        <f t="shared" si="3"/>
        <v>0.80032200169096757</v>
      </c>
      <c r="N11" s="1">
        <f t="shared" si="4"/>
        <v>1.4322001690967534E-2</v>
      </c>
    </row>
    <row r="12" spans="1:15" x14ac:dyDescent="0.3">
      <c r="A12">
        <v>10</v>
      </c>
      <c r="B12">
        <v>0.5</v>
      </c>
      <c r="C12">
        <v>0.48854961800000002</v>
      </c>
      <c r="D12">
        <v>0.39300000000000002</v>
      </c>
      <c r="E12">
        <v>0.38400000000000001</v>
      </c>
      <c r="F12">
        <v>0.76800000000000002</v>
      </c>
      <c r="G12">
        <v>0.78600000000000003</v>
      </c>
      <c r="H12">
        <f t="shared" si="0"/>
        <v>1.8000000000000016E-2</v>
      </c>
      <c r="K12" s="1">
        <f t="shared" si="1"/>
        <v>0.97709923600000004</v>
      </c>
      <c r="L12" s="1">
        <f t="shared" si="2"/>
        <v>0.48730385916666669</v>
      </c>
      <c r="M12" s="1">
        <f t="shared" si="3"/>
        <v>0.78800935551110651</v>
      </c>
      <c r="N12" s="1">
        <f t="shared" si="4"/>
        <v>2.0093555111064809E-3</v>
      </c>
    </row>
    <row r="13" spans="1:15" x14ac:dyDescent="0.3">
      <c r="A13">
        <v>11</v>
      </c>
      <c r="B13">
        <v>0.5</v>
      </c>
      <c r="C13">
        <v>0.49745547099999998</v>
      </c>
      <c r="D13">
        <v>0.39300000000000002</v>
      </c>
      <c r="E13">
        <v>0.39100000000000001</v>
      </c>
      <c r="F13">
        <v>0.78200000000000003</v>
      </c>
      <c r="G13">
        <v>0.78600000000000003</v>
      </c>
      <c r="H13">
        <f t="shared" si="0"/>
        <v>4.0000000000000036E-3</v>
      </c>
      <c r="K13" s="1">
        <f t="shared" si="1"/>
        <v>0.99491094199999996</v>
      </c>
      <c r="L13" s="1">
        <f t="shared" si="2"/>
        <v>0.48730385916666669</v>
      </c>
      <c r="M13" s="1">
        <f t="shared" si="3"/>
        <v>0.802374109387611</v>
      </c>
      <c r="N13" s="1">
        <f t="shared" si="4"/>
        <v>1.6374109387610969E-2</v>
      </c>
    </row>
    <row r="14" spans="1:15" x14ac:dyDescent="0.3">
      <c r="H14" s="1">
        <f>AVERAGE(H2:H13)</f>
        <v>2.1250000000000019E-2</v>
      </c>
      <c r="J14" t="s">
        <v>7</v>
      </c>
      <c r="K14" s="1">
        <f>AVERAGE(K2:K13)</f>
        <v>0.97460771833333337</v>
      </c>
      <c r="N14" s="1">
        <f>AVERAGE(N2:N13)</f>
        <v>1.1842371499380286E-2</v>
      </c>
    </row>
    <row r="15" spans="1:15" x14ac:dyDescent="0.3">
      <c r="J15" t="s">
        <v>11</v>
      </c>
      <c r="K15" s="1" cm="1">
        <f t="array" ref="K15">AVERAGE(B2:B13/C2:C13)</f>
        <v>1.0264776067346875</v>
      </c>
    </row>
    <row r="18" spans="2:15" s="2" customFormat="1" ht="43.2" x14ac:dyDescent="0.3"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K18" s="2" t="s">
        <v>7</v>
      </c>
      <c r="L18" s="2" t="s">
        <v>8</v>
      </c>
      <c r="M18" s="2" t="s">
        <v>9</v>
      </c>
      <c r="N18" s="2" t="s">
        <v>10</v>
      </c>
    </row>
    <row r="19" spans="2:15" x14ac:dyDescent="0.3">
      <c r="B19">
        <v>0.55000000000000004</v>
      </c>
      <c r="C19">
        <v>0.53816793900000004</v>
      </c>
      <c r="D19">
        <v>0.43230000000000002</v>
      </c>
      <c r="E19">
        <v>0.42299999999999999</v>
      </c>
      <c r="F19">
        <v>0.76909090899999999</v>
      </c>
      <c r="G19">
        <v>0.78600000000000003</v>
      </c>
      <c r="H19" s="1">
        <f>ABS(F19-G19)</f>
        <v>1.6909091000000043E-2</v>
      </c>
      <c r="K19" s="1">
        <f>C19/B19</f>
        <v>0.97848716181818185</v>
      </c>
      <c r="L19" s="1">
        <f>$K$37*B19</f>
        <v>0.53980774665694453</v>
      </c>
      <c r="M19" s="1">
        <f>E19/L19</f>
        <v>0.78361231868134429</v>
      </c>
      <c r="N19" s="1">
        <f>ABS(M19-G19)</f>
        <v>2.3876813186557433E-3</v>
      </c>
      <c r="O19" s="1">
        <f>MAX(N19:N24)</f>
        <v>6.0927041020190087E-3</v>
      </c>
    </row>
    <row r="20" spans="2:15" x14ac:dyDescent="0.3">
      <c r="B20">
        <v>0.55000000000000004</v>
      </c>
      <c r="C20">
        <v>0.53562341000000002</v>
      </c>
      <c r="D20">
        <v>0.43230000000000002</v>
      </c>
      <c r="E20">
        <v>0.42099999999999999</v>
      </c>
      <c r="F20">
        <v>0.76545454499999999</v>
      </c>
      <c r="G20">
        <v>0.78600000000000003</v>
      </c>
      <c r="H20" s="1">
        <f t="shared" ref="H20:H36" si="5">ABS(F20-G20)</f>
        <v>2.0545455000000046E-2</v>
      </c>
      <c r="K20" s="1">
        <f t="shared" ref="K20:K36" si="6">C20/B20</f>
        <v>0.97386074545454537</v>
      </c>
      <c r="L20" s="1">
        <f t="shared" ref="L20:L36" si="7">$K$37*B20</f>
        <v>0.53980774665694453</v>
      </c>
      <c r="M20" s="1">
        <f t="shared" ref="M20:M36" si="8">E20/L20</f>
        <v>0.77990729589798102</v>
      </c>
      <c r="N20" s="1">
        <f t="shared" ref="N20:N36" si="9">ABS(M20-G20)</f>
        <v>6.0927041020190087E-3</v>
      </c>
    </row>
    <row r="21" spans="2:15" x14ac:dyDescent="0.3">
      <c r="B21">
        <v>0.55000000000000004</v>
      </c>
      <c r="C21">
        <v>0.53944020400000003</v>
      </c>
      <c r="D21">
        <v>0.43230000000000002</v>
      </c>
      <c r="E21">
        <v>0.42399999999999999</v>
      </c>
      <c r="F21">
        <v>0.77090909100000005</v>
      </c>
      <c r="G21">
        <v>0.78600000000000003</v>
      </c>
      <c r="H21" s="1">
        <f t="shared" si="5"/>
        <v>1.5090908999999986E-2</v>
      </c>
      <c r="K21" s="1">
        <f t="shared" si="6"/>
        <v>0.98080037090909089</v>
      </c>
      <c r="L21" s="1">
        <f t="shared" si="7"/>
        <v>0.53980774665694453</v>
      </c>
      <c r="M21" s="1">
        <f t="shared" si="8"/>
        <v>0.78546483007302592</v>
      </c>
      <c r="N21" s="1">
        <f t="shared" si="9"/>
        <v>5.3516992697411059E-4</v>
      </c>
    </row>
    <row r="22" spans="2:15" x14ac:dyDescent="0.3">
      <c r="B22">
        <v>0.55000000000000004</v>
      </c>
      <c r="C22">
        <v>0.54071246799999995</v>
      </c>
      <c r="D22">
        <v>0.43230000000000002</v>
      </c>
      <c r="E22">
        <v>0.42499999999999999</v>
      </c>
      <c r="F22">
        <v>0.77272727299999999</v>
      </c>
      <c r="G22">
        <v>0.78600000000000003</v>
      </c>
      <c r="H22" s="1">
        <f t="shared" si="5"/>
        <v>1.327272700000004E-2</v>
      </c>
      <c r="K22" s="1">
        <f t="shared" si="6"/>
        <v>0.98311357818181799</v>
      </c>
      <c r="L22" s="1">
        <f t="shared" si="7"/>
        <v>0.53980774665694453</v>
      </c>
      <c r="M22" s="1">
        <f t="shared" si="8"/>
        <v>0.78731734146470767</v>
      </c>
      <c r="N22" s="1">
        <f t="shared" si="9"/>
        <v>1.3173414647076331E-3</v>
      </c>
    </row>
    <row r="23" spans="2:15" x14ac:dyDescent="0.3">
      <c r="B23">
        <v>0.55000000000000004</v>
      </c>
      <c r="C23">
        <v>0.53689567400000004</v>
      </c>
      <c r="D23">
        <v>0.43230000000000002</v>
      </c>
      <c r="E23">
        <v>0.42199999999999999</v>
      </c>
      <c r="F23">
        <v>0.76727272700000004</v>
      </c>
      <c r="G23">
        <v>0.78600000000000003</v>
      </c>
      <c r="H23" s="1">
        <f t="shared" si="5"/>
        <v>1.8727272999999989E-2</v>
      </c>
      <c r="K23" s="1">
        <f t="shared" si="6"/>
        <v>0.9761739527272727</v>
      </c>
      <c r="L23" s="1">
        <f t="shared" si="7"/>
        <v>0.53980774665694453</v>
      </c>
      <c r="M23" s="1">
        <f t="shared" si="8"/>
        <v>0.78175980728966266</v>
      </c>
      <c r="N23" s="1">
        <f t="shared" si="9"/>
        <v>4.240192710337376E-3</v>
      </c>
    </row>
    <row r="24" spans="2:15" x14ac:dyDescent="0.3">
      <c r="B24">
        <v>0.55000000000000004</v>
      </c>
      <c r="C24">
        <v>0.54325699699999996</v>
      </c>
      <c r="D24">
        <v>0.43230000000000002</v>
      </c>
      <c r="E24">
        <v>0.42699999999999999</v>
      </c>
      <c r="F24">
        <v>0.77636363600000002</v>
      </c>
      <c r="G24">
        <v>0.78600000000000003</v>
      </c>
      <c r="H24" s="1">
        <f t="shared" si="5"/>
        <v>9.6363640000000084E-3</v>
      </c>
      <c r="K24" s="1">
        <f t="shared" si="6"/>
        <v>0.98773999454545436</v>
      </c>
      <c r="L24" s="1">
        <f t="shared" si="7"/>
        <v>0.53980774665694453</v>
      </c>
      <c r="M24" s="1">
        <f t="shared" si="8"/>
        <v>0.79102236424807093</v>
      </c>
      <c r="N24" s="1">
        <f t="shared" si="9"/>
        <v>5.0223642480708985E-3</v>
      </c>
    </row>
    <row r="25" spans="2:15" x14ac:dyDescent="0.3">
      <c r="B25">
        <v>0.5</v>
      </c>
      <c r="C25">
        <v>0.47837150099999998</v>
      </c>
      <c r="D25">
        <v>0.39300000000000002</v>
      </c>
      <c r="E25">
        <v>0.376</v>
      </c>
      <c r="F25">
        <v>0.752</v>
      </c>
      <c r="G25">
        <v>0.78600000000000003</v>
      </c>
      <c r="H25" s="1">
        <f t="shared" si="5"/>
        <v>3.400000000000003E-2</v>
      </c>
      <c r="K25" s="1">
        <f t="shared" si="6"/>
        <v>0.95674300199999995</v>
      </c>
      <c r="L25" s="1">
        <f t="shared" si="7"/>
        <v>0.49073431514267679</v>
      </c>
      <c r="M25" s="1">
        <f t="shared" si="8"/>
        <v>0.76619871159953679</v>
      </c>
      <c r="N25" s="1">
        <f t="shared" si="9"/>
        <v>1.9801288400463246E-2</v>
      </c>
      <c r="O25" s="1">
        <f>MAX(N25:N30)</f>
        <v>1.9801288400463246E-2</v>
      </c>
    </row>
    <row r="26" spans="2:15" x14ac:dyDescent="0.3">
      <c r="B26">
        <v>0.5</v>
      </c>
      <c r="C26">
        <v>0.49363867700000003</v>
      </c>
      <c r="D26">
        <v>0.39300000000000002</v>
      </c>
      <c r="E26">
        <v>0.38800000000000001</v>
      </c>
      <c r="F26">
        <v>0.77600000000000002</v>
      </c>
      <c r="G26">
        <v>0.78600000000000003</v>
      </c>
      <c r="H26" s="1">
        <f t="shared" si="5"/>
        <v>1.0000000000000009E-2</v>
      </c>
      <c r="K26" s="1">
        <f t="shared" si="6"/>
        <v>0.98727735400000005</v>
      </c>
      <c r="L26" s="1">
        <f>$K$37*B26</f>
        <v>0.49073431514267679</v>
      </c>
      <c r="M26" s="1">
        <f t="shared" si="8"/>
        <v>0.7906518619697348</v>
      </c>
      <c r="N26" s="1">
        <f t="shared" si="9"/>
        <v>4.6518619697347718E-3</v>
      </c>
    </row>
    <row r="27" spans="2:15" x14ac:dyDescent="0.3">
      <c r="B27">
        <v>0.5</v>
      </c>
      <c r="C27">
        <v>0.49363867700000003</v>
      </c>
      <c r="D27">
        <v>0.39300000000000002</v>
      </c>
      <c r="E27">
        <v>0.38800000000000001</v>
      </c>
      <c r="F27">
        <v>0.77600000000000002</v>
      </c>
      <c r="G27">
        <v>0.78600000000000003</v>
      </c>
      <c r="H27" s="1">
        <f t="shared" si="5"/>
        <v>1.0000000000000009E-2</v>
      </c>
      <c r="K27" s="1">
        <f t="shared" si="6"/>
        <v>0.98727735400000005</v>
      </c>
      <c r="L27" s="1">
        <f t="shared" si="7"/>
        <v>0.49073431514267679</v>
      </c>
      <c r="M27" s="1">
        <f t="shared" si="8"/>
        <v>0.7906518619697348</v>
      </c>
      <c r="N27" s="1">
        <f t="shared" si="9"/>
        <v>4.6518619697347718E-3</v>
      </c>
    </row>
    <row r="28" spans="2:15" x14ac:dyDescent="0.3">
      <c r="B28">
        <v>0.5</v>
      </c>
      <c r="C28">
        <v>0.49872773500000001</v>
      </c>
      <c r="D28">
        <v>0.39300000000000002</v>
      </c>
      <c r="E28">
        <v>0.39200000000000002</v>
      </c>
      <c r="F28">
        <v>0.78400000000000003</v>
      </c>
      <c r="G28">
        <v>0.78600000000000003</v>
      </c>
      <c r="H28" s="1">
        <f t="shared" si="5"/>
        <v>2.0000000000000018E-3</v>
      </c>
      <c r="K28" s="1">
        <f t="shared" si="6"/>
        <v>0.99745547000000001</v>
      </c>
      <c r="L28" s="1">
        <f t="shared" si="7"/>
        <v>0.49073431514267679</v>
      </c>
      <c r="M28" s="1">
        <f t="shared" si="8"/>
        <v>0.79880291209313414</v>
      </c>
      <c r="N28" s="1">
        <f t="shared" si="9"/>
        <v>1.2802912093134111E-2</v>
      </c>
    </row>
    <row r="29" spans="2:15" x14ac:dyDescent="0.3">
      <c r="B29">
        <v>0.5</v>
      </c>
      <c r="C29">
        <v>0.48982188300000001</v>
      </c>
      <c r="D29">
        <v>0.39300000000000002</v>
      </c>
      <c r="E29">
        <v>0.38500000000000001</v>
      </c>
      <c r="F29">
        <v>0.77</v>
      </c>
      <c r="G29">
        <v>0.78600000000000003</v>
      </c>
      <c r="H29" s="1">
        <f t="shared" si="5"/>
        <v>1.6000000000000014E-2</v>
      </c>
      <c r="K29" s="1">
        <f t="shared" si="6"/>
        <v>0.97964376600000003</v>
      </c>
      <c r="L29" s="1">
        <f t="shared" si="7"/>
        <v>0.49073431514267679</v>
      </c>
      <c r="M29" s="1">
        <f t="shared" si="8"/>
        <v>0.78453857437718522</v>
      </c>
      <c r="N29" s="1">
        <f t="shared" si="9"/>
        <v>1.4614256228148159E-3</v>
      </c>
    </row>
    <row r="30" spans="2:15" x14ac:dyDescent="0.3">
      <c r="B30">
        <v>0.5</v>
      </c>
      <c r="C30">
        <v>0.487277354</v>
      </c>
      <c r="D30">
        <v>0.39300000000000002</v>
      </c>
      <c r="E30">
        <v>0.38300000000000001</v>
      </c>
      <c r="F30">
        <v>0.76600000000000001</v>
      </c>
      <c r="G30">
        <v>0.78600000000000003</v>
      </c>
      <c r="H30" s="1">
        <f t="shared" si="5"/>
        <v>2.0000000000000018E-2</v>
      </c>
      <c r="K30" s="1">
        <f t="shared" si="6"/>
        <v>0.97455470799999999</v>
      </c>
      <c r="L30" s="1">
        <f t="shared" si="7"/>
        <v>0.49073431514267679</v>
      </c>
      <c r="M30" s="1">
        <f t="shared" si="8"/>
        <v>0.7804630493154856</v>
      </c>
      <c r="N30" s="1">
        <f t="shared" si="9"/>
        <v>5.5369506845144301E-3</v>
      </c>
    </row>
    <row r="31" spans="2:15" x14ac:dyDescent="0.3">
      <c r="B31">
        <v>0.4</v>
      </c>
      <c r="C31">
        <v>0.39312977100000002</v>
      </c>
      <c r="D31">
        <v>0.31440000000000001</v>
      </c>
      <c r="E31">
        <v>0.309</v>
      </c>
      <c r="F31">
        <v>0.77249999999999996</v>
      </c>
      <c r="G31">
        <v>0.78600000000000003</v>
      </c>
      <c r="H31" s="1">
        <f>ABS(F31-G31)</f>
        <v>1.3500000000000068E-2</v>
      </c>
      <c r="K31" s="1">
        <f t="shared" si="6"/>
        <v>0.98282442749999999</v>
      </c>
      <c r="L31" s="1">
        <f t="shared" si="7"/>
        <v>0.39258745211414148</v>
      </c>
      <c r="M31" s="1">
        <f t="shared" si="8"/>
        <v>0.78708577754074749</v>
      </c>
      <c r="N31" s="1">
        <f t="shared" si="9"/>
        <v>1.0857775407474568E-3</v>
      </c>
      <c r="O31" s="1">
        <f>MAX(N31:N36)</f>
        <v>1.9291847767750947E-2</v>
      </c>
    </row>
    <row r="32" spans="2:15" x14ac:dyDescent="0.3">
      <c r="B32">
        <v>0.4</v>
      </c>
      <c r="C32">
        <v>0.40203562300000001</v>
      </c>
      <c r="D32">
        <v>0.31440000000000001</v>
      </c>
      <c r="E32">
        <v>0.316</v>
      </c>
      <c r="F32">
        <v>0.79</v>
      </c>
      <c r="G32">
        <v>0.78600000000000003</v>
      </c>
      <c r="H32" s="1">
        <f t="shared" si="5"/>
        <v>4.0000000000000036E-3</v>
      </c>
      <c r="K32" s="1">
        <f t="shared" si="6"/>
        <v>1.0050890575</v>
      </c>
      <c r="L32" s="1">
        <f t="shared" si="7"/>
        <v>0.39258745211414148</v>
      </c>
      <c r="M32" s="1">
        <f t="shared" si="8"/>
        <v>0.80491619968568351</v>
      </c>
      <c r="N32" s="1">
        <f t="shared" si="9"/>
        <v>1.8916199685683477E-2</v>
      </c>
    </row>
    <row r="33" spans="2:14" x14ac:dyDescent="0.3">
      <c r="B33">
        <v>0.4</v>
      </c>
      <c r="C33">
        <v>0.390585242</v>
      </c>
      <c r="D33">
        <v>0.31440000000000001</v>
      </c>
      <c r="E33">
        <v>0.307</v>
      </c>
      <c r="F33">
        <v>0.76749999999999996</v>
      </c>
      <c r="G33">
        <v>0.78600000000000003</v>
      </c>
      <c r="H33" s="1">
        <f t="shared" si="5"/>
        <v>1.8500000000000072E-2</v>
      </c>
      <c r="K33" s="1">
        <f t="shared" si="6"/>
        <v>0.976463105</v>
      </c>
      <c r="L33" s="1">
        <f t="shared" si="7"/>
        <v>0.39258745211414148</v>
      </c>
      <c r="M33" s="1">
        <f t="shared" si="8"/>
        <v>0.78199137121362283</v>
      </c>
      <c r="N33" s="1">
        <f t="shared" si="9"/>
        <v>4.0086287863771997E-3</v>
      </c>
    </row>
    <row r="34" spans="2:14" x14ac:dyDescent="0.3">
      <c r="B34">
        <v>0.4</v>
      </c>
      <c r="C34">
        <v>0.40076335899999999</v>
      </c>
      <c r="D34">
        <v>0.31440000000000001</v>
      </c>
      <c r="E34">
        <v>0.315</v>
      </c>
      <c r="F34">
        <v>0.78749999999999998</v>
      </c>
      <c r="G34">
        <v>0.78600000000000003</v>
      </c>
      <c r="H34" s="1">
        <f t="shared" si="5"/>
        <v>1.4999999999999458E-3</v>
      </c>
      <c r="K34" s="1">
        <f t="shared" si="6"/>
        <v>1.0019083974999998</v>
      </c>
      <c r="L34" s="1">
        <f t="shared" si="7"/>
        <v>0.39258745211414148</v>
      </c>
      <c r="M34" s="1">
        <f t="shared" si="8"/>
        <v>0.80236899652212124</v>
      </c>
      <c r="N34" s="1">
        <f t="shared" si="9"/>
        <v>1.6368996522121204E-2</v>
      </c>
    </row>
    <row r="35" spans="2:14" x14ac:dyDescent="0.3">
      <c r="B35">
        <v>0.4</v>
      </c>
      <c r="C35">
        <v>0.39185750600000002</v>
      </c>
      <c r="D35">
        <v>0.31440000000000001</v>
      </c>
      <c r="E35">
        <v>0.308</v>
      </c>
      <c r="F35">
        <v>0.77</v>
      </c>
      <c r="G35">
        <v>0.78600000000000003</v>
      </c>
      <c r="H35" s="1">
        <f t="shared" si="5"/>
        <v>1.6000000000000014E-2</v>
      </c>
      <c r="K35" s="1">
        <f t="shared" si="6"/>
        <v>0.97964376500000006</v>
      </c>
      <c r="L35" s="1">
        <f t="shared" si="7"/>
        <v>0.39258745211414148</v>
      </c>
      <c r="M35" s="1">
        <f t="shared" si="8"/>
        <v>0.78453857437718511</v>
      </c>
      <c r="N35" s="1">
        <f t="shared" si="9"/>
        <v>1.4614256228149269E-3</v>
      </c>
    </row>
    <row r="36" spans="2:14" x14ac:dyDescent="0.3">
      <c r="B36">
        <v>0.4</v>
      </c>
      <c r="C36">
        <v>0.38295165399999997</v>
      </c>
      <c r="D36">
        <v>0.31440000000000001</v>
      </c>
      <c r="E36">
        <v>0.30099999999999999</v>
      </c>
      <c r="F36">
        <v>0.75249999999999995</v>
      </c>
      <c r="G36">
        <v>0.78600000000000003</v>
      </c>
      <c r="H36" s="1">
        <f t="shared" si="5"/>
        <v>3.3500000000000085E-2</v>
      </c>
      <c r="K36" s="1">
        <f t="shared" si="6"/>
        <v>0.95737913499999994</v>
      </c>
      <c r="L36" s="1">
        <f t="shared" si="7"/>
        <v>0.39258745211414148</v>
      </c>
      <c r="M36" s="1">
        <f t="shared" si="8"/>
        <v>0.76670815223224908</v>
      </c>
      <c r="N36" s="1">
        <f t="shared" si="9"/>
        <v>1.9291847767750947E-2</v>
      </c>
    </row>
    <row r="37" spans="2:14" x14ac:dyDescent="0.3">
      <c r="H37" s="1">
        <f>AVERAGE(H19:H36)</f>
        <v>1.5176767722222243E-2</v>
      </c>
      <c r="J37" t="s">
        <v>7</v>
      </c>
      <c r="K37" s="1">
        <f>AVERAGE(K19:K36)</f>
        <v>0.98146863028535358</v>
      </c>
      <c r="N37" s="1">
        <f>AVERAGE(N19:N36)</f>
        <v>7.2019239131475626E-3</v>
      </c>
    </row>
    <row r="38" spans="2:14" x14ac:dyDescent="0.3">
      <c r="J38" t="s">
        <v>11</v>
      </c>
      <c r="K38" s="1" cm="1">
        <f t="array" ref="K38">AVERAGE(B19:B36/C19:C36)</f>
        <v>1.0190407578345744</v>
      </c>
    </row>
    <row r="40" spans="2:14" x14ac:dyDescent="0.3">
      <c r="B40" t="s">
        <v>12</v>
      </c>
      <c r="C40" t="s">
        <v>13</v>
      </c>
      <c r="D40" t="s">
        <v>15</v>
      </c>
    </row>
    <row r="41" spans="2:14" x14ac:dyDescent="0.3">
      <c r="B41">
        <v>0.53816793900000004</v>
      </c>
      <c r="C41">
        <v>0.55000000000000004</v>
      </c>
      <c r="D41">
        <v>0.53980774665694453</v>
      </c>
    </row>
    <row r="42" spans="2:14" x14ac:dyDescent="0.3">
      <c r="B42">
        <v>0.53562341000000002</v>
      </c>
      <c r="C42">
        <v>0.55000000000000004</v>
      </c>
      <c r="D42">
        <v>0.53980774665694453</v>
      </c>
    </row>
    <row r="43" spans="2:14" x14ac:dyDescent="0.3">
      <c r="B43">
        <v>0.53944020400000003</v>
      </c>
      <c r="C43">
        <v>0.55000000000000004</v>
      </c>
      <c r="D43">
        <v>0.53980774665694453</v>
      </c>
    </row>
    <row r="44" spans="2:14" x14ac:dyDescent="0.3">
      <c r="B44">
        <v>0.54071246799999995</v>
      </c>
      <c r="C44">
        <v>0.55000000000000004</v>
      </c>
      <c r="D44">
        <v>0.53980774665694453</v>
      </c>
    </row>
    <row r="45" spans="2:14" x14ac:dyDescent="0.3">
      <c r="B45">
        <v>0.53689567400000004</v>
      </c>
      <c r="C45">
        <v>0.55000000000000004</v>
      </c>
      <c r="D45">
        <v>0.53980774665694453</v>
      </c>
    </row>
    <row r="46" spans="2:14" x14ac:dyDescent="0.3">
      <c r="B46">
        <v>0.54325699699999996</v>
      </c>
      <c r="C46">
        <v>0.55000000000000004</v>
      </c>
      <c r="D46">
        <v>0.53980774665694453</v>
      </c>
    </row>
    <row r="47" spans="2:14" x14ac:dyDescent="0.3">
      <c r="B47">
        <v>0.47837150099999998</v>
      </c>
      <c r="C47">
        <v>0.5</v>
      </c>
      <c r="D47">
        <v>0.49073431514267679</v>
      </c>
    </row>
    <row r="48" spans="2:14" x14ac:dyDescent="0.3">
      <c r="B48">
        <v>0.49363867700000003</v>
      </c>
      <c r="C48">
        <v>0.5</v>
      </c>
      <c r="D48">
        <v>0.49073431514267679</v>
      </c>
    </row>
    <row r="49" spans="2:4" x14ac:dyDescent="0.3">
      <c r="B49">
        <v>0.49363867700000003</v>
      </c>
      <c r="C49">
        <v>0.5</v>
      </c>
      <c r="D49">
        <v>0.49073431514267679</v>
      </c>
    </row>
    <row r="50" spans="2:4" x14ac:dyDescent="0.3">
      <c r="B50">
        <v>0.49872773500000001</v>
      </c>
      <c r="C50">
        <v>0.5</v>
      </c>
      <c r="D50">
        <v>0.49073431514267679</v>
      </c>
    </row>
    <row r="51" spans="2:4" x14ac:dyDescent="0.3">
      <c r="B51">
        <v>0.48982188300000001</v>
      </c>
      <c r="C51">
        <v>0.5</v>
      </c>
      <c r="D51">
        <v>0.49073431514267679</v>
      </c>
    </row>
    <row r="52" spans="2:4" x14ac:dyDescent="0.3">
      <c r="B52">
        <v>0.487277354</v>
      </c>
      <c r="C52">
        <v>0.5</v>
      </c>
      <c r="D52">
        <v>0.49073431514267679</v>
      </c>
    </row>
    <row r="53" spans="2:4" x14ac:dyDescent="0.3">
      <c r="B53">
        <v>0.39312977100000002</v>
      </c>
      <c r="C53">
        <v>0.4</v>
      </c>
      <c r="D53">
        <v>0.39258745211414148</v>
      </c>
    </row>
    <row r="54" spans="2:4" x14ac:dyDescent="0.3">
      <c r="B54">
        <v>0.40203562300000001</v>
      </c>
      <c r="C54">
        <v>0.4</v>
      </c>
      <c r="D54">
        <v>0.39258745211414148</v>
      </c>
    </row>
    <row r="55" spans="2:4" x14ac:dyDescent="0.3">
      <c r="B55">
        <v>0.390585242</v>
      </c>
      <c r="C55">
        <v>0.4</v>
      </c>
      <c r="D55">
        <v>0.39258745211414148</v>
      </c>
    </row>
    <row r="56" spans="2:4" x14ac:dyDescent="0.3">
      <c r="B56">
        <v>0.40076335899999999</v>
      </c>
      <c r="C56">
        <v>0.4</v>
      </c>
      <c r="D56">
        <v>0.39258745211414148</v>
      </c>
    </row>
    <row r="57" spans="2:4" x14ac:dyDescent="0.3">
      <c r="B57">
        <v>0.39185750600000002</v>
      </c>
      <c r="C57">
        <v>0.4</v>
      </c>
      <c r="D57">
        <v>0.39258745211414148</v>
      </c>
    </row>
    <row r="58" spans="2:4" x14ac:dyDescent="0.3">
      <c r="B58">
        <v>0.38295165399999997</v>
      </c>
      <c r="C58">
        <v>0.4</v>
      </c>
      <c r="D58">
        <v>0.39258745211414148</v>
      </c>
    </row>
    <row r="61" spans="2:4" x14ac:dyDescent="0.3">
      <c r="B61" t="s">
        <v>12</v>
      </c>
      <c r="C61" t="s">
        <v>13</v>
      </c>
      <c r="D61" t="s">
        <v>14</v>
      </c>
    </row>
    <row r="62" spans="2:4" x14ac:dyDescent="0.3">
      <c r="B62" s="1">
        <v>0.53816793900000004</v>
      </c>
      <c r="C62" s="1"/>
      <c r="D62" s="1">
        <v>0.53980774665694453</v>
      </c>
    </row>
    <row r="63" spans="2:4" x14ac:dyDescent="0.3">
      <c r="B63" s="1">
        <v>0.53562341000000002</v>
      </c>
      <c r="C63" s="1"/>
      <c r="D63" s="1">
        <v>0.53980774665694453</v>
      </c>
    </row>
    <row r="64" spans="2:4" x14ac:dyDescent="0.3">
      <c r="B64" s="1">
        <v>0.53944020400000003</v>
      </c>
      <c r="C64" s="1"/>
      <c r="D64" s="1">
        <v>0.53980774665694453</v>
      </c>
    </row>
    <row r="65" spans="2:4" x14ac:dyDescent="0.3">
      <c r="B65" s="1">
        <v>0.54071246799999995</v>
      </c>
      <c r="C65" s="1"/>
      <c r="D65" s="1">
        <v>0.53980774665694453</v>
      </c>
    </row>
    <row r="66" spans="2:4" x14ac:dyDescent="0.3">
      <c r="B66" s="1">
        <v>0.53689567400000004</v>
      </c>
      <c r="C66" s="1"/>
      <c r="D66" s="1">
        <v>0.53980774665694453</v>
      </c>
    </row>
    <row r="67" spans="2:4" x14ac:dyDescent="0.3">
      <c r="B67" s="1">
        <v>0.54325699699999996</v>
      </c>
      <c r="C67" s="1"/>
      <c r="D67" s="1">
        <v>0.53980774665694453</v>
      </c>
    </row>
    <row r="68" spans="2:4" x14ac:dyDescent="0.3">
      <c r="B68" s="1">
        <v>0.47837150099999998</v>
      </c>
      <c r="C68" s="1"/>
      <c r="D68" s="1">
        <v>0.49073431514267679</v>
      </c>
    </row>
    <row r="69" spans="2:4" x14ac:dyDescent="0.3">
      <c r="B69" s="1">
        <v>0.49363867700000003</v>
      </c>
      <c r="C69" s="1"/>
      <c r="D69" s="1">
        <v>0.49073431514267679</v>
      </c>
    </row>
    <row r="70" spans="2:4" x14ac:dyDescent="0.3">
      <c r="B70" s="1">
        <v>0.49363867700000003</v>
      </c>
      <c r="C70" s="1"/>
      <c r="D70" s="1">
        <v>0.49073431514267679</v>
      </c>
    </row>
    <row r="71" spans="2:4" x14ac:dyDescent="0.3">
      <c r="B71" s="1">
        <v>0.49872773500000001</v>
      </c>
      <c r="C71" s="1"/>
      <c r="D71" s="1">
        <v>0.49073431514267679</v>
      </c>
    </row>
    <row r="72" spans="2:4" x14ac:dyDescent="0.3">
      <c r="B72" s="1">
        <v>0.48982188300000001</v>
      </c>
      <c r="C72" s="1"/>
      <c r="D72" s="1">
        <v>0.49073431514267679</v>
      </c>
    </row>
    <row r="73" spans="2:4" x14ac:dyDescent="0.3">
      <c r="B73" s="1">
        <v>0.487277354</v>
      </c>
      <c r="C73" s="1"/>
      <c r="D73" s="1">
        <v>0.49073431514267679</v>
      </c>
    </row>
    <row r="74" spans="2:4" x14ac:dyDescent="0.3">
      <c r="B74" s="1">
        <v>0.39312977100000002</v>
      </c>
      <c r="C74" s="1"/>
      <c r="D74" s="1">
        <v>0.39258745211414148</v>
      </c>
    </row>
    <row r="75" spans="2:4" x14ac:dyDescent="0.3">
      <c r="B75" s="1">
        <v>0.40203562300000001</v>
      </c>
      <c r="C75" s="1"/>
      <c r="D75" s="1">
        <v>0.39258745211414148</v>
      </c>
    </row>
    <row r="76" spans="2:4" x14ac:dyDescent="0.3">
      <c r="B76" s="1">
        <v>0.390585242</v>
      </c>
      <c r="C76" s="1"/>
      <c r="D76" s="1">
        <v>0.39258745211414148</v>
      </c>
    </row>
    <row r="77" spans="2:4" x14ac:dyDescent="0.3">
      <c r="B77" s="1">
        <v>0.40076335899999999</v>
      </c>
      <c r="C77" s="1"/>
      <c r="D77" s="1">
        <v>0.39258745211414148</v>
      </c>
    </row>
    <row r="78" spans="2:4" x14ac:dyDescent="0.3">
      <c r="B78" s="1">
        <v>0.39185750600000002</v>
      </c>
      <c r="C78" s="1"/>
      <c r="D78" s="1">
        <v>0.39258745211414148</v>
      </c>
    </row>
    <row r="79" spans="2:4" x14ac:dyDescent="0.3">
      <c r="B79" s="1">
        <v>0.38295165399999997</v>
      </c>
      <c r="C79" s="1"/>
      <c r="D79" s="1">
        <v>0.39258745211414148</v>
      </c>
    </row>
    <row r="80" spans="2:4" x14ac:dyDescent="0.3">
      <c r="B80" s="1">
        <v>0.37277353699999999</v>
      </c>
      <c r="C80" s="1">
        <v>0.4</v>
      </c>
      <c r="D80" s="1"/>
    </row>
    <row r="81" spans="2:4" x14ac:dyDescent="0.3">
      <c r="B81" s="1">
        <v>0.389312977</v>
      </c>
      <c r="C81" s="1">
        <v>0.4</v>
      </c>
      <c r="D81" s="1"/>
    </row>
    <row r="82" spans="2:4" x14ac:dyDescent="0.3">
      <c r="B82" s="1">
        <v>0.38167938899999998</v>
      </c>
      <c r="C82" s="1">
        <v>0.4</v>
      </c>
      <c r="D82" s="1"/>
    </row>
    <row r="83" spans="2:4" x14ac:dyDescent="0.3">
      <c r="B83" s="1">
        <v>0.38295165399999997</v>
      </c>
      <c r="C83" s="1">
        <v>0.4</v>
      </c>
      <c r="D83" s="1"/>
    </row>
    <row r="84" spans="2:4" x14ac:dyDescent="0.3">
      <c r="B84" s="1">
        <v>0.389312977</v>
      </c>
      <c r="C84" s="1">
        <v>0.4</v>
      </c>
      <c r="D84" s="1"/>
    </row>
    <row r="85" spans="2:4" x14ac:dyDescent="0.3">
      <c r="B85" s="1">
        <v>0.390585242</v>
      </c>
      <c r="C85" s="1">
        <v>0.4</v>
      </c>
      <c r="D85" s="1"/>
    </row>
    <row r="86" spans="2:4" x14ac:dyDescent="0.3">
      <c r="B86" s="1">
        <v>0.48473282400000001</v>
      </c>
      <c r="C86" s="1">
        <v>0.5</v>
      </c>
      <c r="D86" s="1"/>
    </row>
    <row r="87" spans="2:4" x14ac:dyDescent="0.3">
      <c r="B87" s="1">
        <v>0.49236641199999998</v>
      </c>
      <c r="C87" s="1">
        <v>0.5</v>
      </c>
      <c r="D87" s="1"/>
    </row>
    <row r="88" spans="2:4" x14ac:dyDescent="0.3">
      <c r="B88" s="1">
        <v>0.50508905900000001</v>
      </c>
      <c r="C88" s="1">
        <v>0.5</v>
      </c>
      <c r="D88" s="1"/>
    </row>
    <row r="89" spans="2:4" x14ac:dyDescent="0.3">
      <c r="B89" s="1">
        <v>0.49618320599999999</v>
      </c>
      <c r="C89" s="1">
        <v>0.5</v>
      </c>
      <c r="D89" s="1"/>
    </row>
    <row r="90" spans="2:4" x14ac:dyDescent="0.3">
      <c r="B90" s="1">
        <v>0.48854961800000002</v>
      </c>
      <c r="C90" s="1">
        <v>0.5</v>
      </c>
      <c r="D90" s="1"/>
    </row>
    <row r="91" spans="2:4" x14ac:dyDescent="0.3">
      <c r="B91" s="1">
        <v>0.49745547099999998</v>
      </c>
      <c r="C91" s="1">
        <v>0.5</v>
      </c>
      <c r="D9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pipette_calibration_master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</cp:lastModifiedBy>
  <dcterms:created xsi:type="dcterms:W3CDTF">2025-02-27T20:47:53Z</dcterms:created>
  <dcterms:modified xsi:type="dcterms:W3CDTF">2025-03-05T20:59:07Z</dcterms:modified>
</cp:coreProperties>
</file>